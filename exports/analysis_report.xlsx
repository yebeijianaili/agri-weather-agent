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摘要" sheetId="1" state="visible" r:id="rId1"/>
    <sheet name="季节统计" sheetId="2" state="visible" r:id="rId2"/>
    <sheet name="风险清单" sheetId="3" state="visible" r:id="rId3"/>
    <sheet name="方法与口径" sheetId="4" state="visible" r:id="rId4"/>
  </sheets>
  <definedNames>
    <definedName name="_xlnm._FilterDatabase" localSheetId="1" hidden="1">'季节统计'!$A$1:$U$16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4D3A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季节平均气温对比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'季节统计'!J1</f>
            </strRef>
          </tx>
          <spPr>
            <a:ln>
              <a:prstDash val="solid"/>
            </a:ln>
          </spPr>
          <cat>
            <numRef>
              <f>'季节统计'!$D$2:$D$16</f>
            </numRef>
          </cat>
          <val>
            <numRef>
              <f>'季节统计'!$J$2:$J$16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季节记录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温度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22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</cols>
  <sheetData>
    <row r="1" ht="30" customHeight="1">
      <c r="A1" s="1" t="inlineStr">
        <is>
          <t>农田气象时序分析报告</t>
        </is>
      </c>
    </row>
    <row r="3">
      <c r="A3" s="2" t="inlineStr">
        <is>
          <t>分析任务</t>
        </is>
      </c>
      <c r="B3" t="inlineStr">
        <is>
          <t>#1</t>
        </is>
      </c>
    </row>
    <row r="4">
      <c r="A4" s="2" t="inlineStr">
        <is>
          <t>生成时间</t>
        </is>
      </c>
      <c r="B4" t="inlineStr">
        <is>
          <t>2026-10-15T16:20:43+08:00</t>
        </is>
      </c>
    </row>
    <row r="5">
      <c r="A5" s="2" t="inlineStr">
        <is>
          <t>数据范围</t>
        </is>
      </c>
      <c r="B5" t="inlineStr">
        <is>
          <t>2024-01-01 至 2024-12-31</t>
        </is>
      </c>
    </row>
    <row r="6">
      <c r="A6" s="2" t="inlineStr">
        <is>
          <t>地块数量</t>
        </is>
      </c>
      <c r="B6" t="n">
        <v>3</v>
      </c>
    </row>
    <row r="7">
      <c r="A7" s="2" t="inlineStr">
        <is>
          <t>记录数量</t>
        </is>
      </c>
      <c r="B7" t="n">
        <v>1093</v>
      </c>
    </row>
    <row r="8">
      <c r="A8" s="2" t="inlineStr">
        <is>
          <t>平均气温(°C)</t>
        </is>
      </c>
      <c r="B8" t="n">
        <v>16.11</v>
      </c>
    </row>
    <row r="9">
      <c r="A9" s="2" t="inlineStr">
        <is>
          <t>累计降水(mm)</t>
        </is>
      </c>
      <c r="B9" t="n">
        <v>1230.97</v>
      </c>
    </row>
    <row r="10">
      <c r="A10" s="2" t="inlineStr">
        <is>
          <t>平均太阳辐射(W/m²)</t>
        </is>
      </c>
      <c r="B10" t="n">
        <v>324.76</v>
      </c>
    </row>
    <row r="11">
      <c r="A11" s="2" t="inlineStr">
        <is>
          <t>平均相对湿度(%)</t>
        </is>
      </c>
      <c r="B11" t="n">
        <v>73.72</v>
      </c>
    </row>
    <row r="12">
      <c r="A12" s="2" t="inlineStr">
        <is>
          <t>入库质量评分</t>
        </is>
      </c>
      <c r="B12" t="n">
        <v>99.90000000000001</v>
      </c>
    </row>
    <row r="14">
      <c r="A14" s="2" t="inlineStr">
        <is>
          <t>执行摘要</t>
        </is>
      </c>
    </row>
    <row r="15">
      <c r="A15" s="3" t="inlineStr">
        <is>
          <t>完成 1093 条、3 个地块、366 天气象记录分析；平均气温 16.11°C，累计区域降水 1230.97 mm，入库质量 99.9 分。 高优先级风险：连续高温。</t>
        </is>
      </c>
    </row>
    <row r="16"/>
    <row r="17"/>
    <row r="18"/>
  </sheetData>
  <mergeCells count="2">
    <mergeCell ref="A1:D1"/>
    <mergeCell ref="A15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5" customWidth="1" min="7" max="7"/>
    <col width="12" customWidth="1" min="8" max="8"/>
    <col width="14" customWidth="1" min="9" max="9"/>
    <col width="19" customWidth="1" min="10" max="10"/>
    <col width="19" customWidth="1" min="11" max="11"/>
    <col width="19" customWidth="1" min="12" max="12"/>
    <col width="25" customWidth="1" min="13" max="13"/>
    <col width="24" customWidth="1" min="14" max="14"/>
    <col width="12" customWidth="1" min="15" max="15"/>
    <col width="24" customWidth="1" min="16" max="16"/>
    <col width="25" customWidth="1" min="17" max="17"/>
    <col width="16" customWidth="1" min="18" max="18"/>
    <col width="18" customWidth="1" min="19" max="19"/>
    <col width="15" customWidth="1" min="20" max="20"/>
    <col width="12" customWidth="1" min="21" max="21"/>
  </cols>
  <sheetData>
    <row r="1">
      <c r="A1" s="4" t="inlineStr">
        <is>
          <t>analysis_id</t>
        </is>
      </c>
      <c r="B1" s="4" t="inlineStr">
        <is>
          <t>plot_id</t>
        </is>
      </c>
      <c r="C1" s="4" t="inlineStr">
        <is>
          <t>season_year</t>
        </is>
      </c>
      <c r="D1" s="4" t="inlineStr">
        <is>
          <t>season</t>
        </is>
      </c>
      <c r="E1" s="4" t="inlineStr">
        <is>
          <t>period_start</t>
        </is>
      </c>
      <c r="F1" s="4" t="inlineStr">
        <is>
          <t>period_end</t>
        </is>
      </c>
      <c r="G1" s="4" t="inlineStr">
        <is>
          <t>expected_days</t>
        </is>
      </c>
      <c r="H1" s="4" t="inlineStr">
        <is>
          <t>valid_days</t>
        </is>
      </c>
      <c r="I1" s="4" t="inlineStr">
        <is>
          <t>coverage_pct</t>
        </is>
      </c>
      <c r="J1" s="4" t="inlineStr">
        <is>
          <t>temperature_avg_c</t>
        </is>
      </c>
      <c r="K1" s="4" t="inlineStr">
        <is>
          <t>temperature_max_c</t>
        </is>
      </c>
      <c r="L1" s="4" t="inlineStr">
        <is>
          <t>temperature_min_c</t>
        </is>
      </c>
      <c r="M1" s="4" t="inlineStr">
        <is>
          <t>temperature_trend_c_30d</t>
        </is>
      </c>
      <c r="N1" s="4" t="inlineStr">
        <is>
          <t>precipitation_total_mm</t>
        </is>
      </c>
      <c r="O1" s="4" t="inlineStr">
        <is>
          <t>rainy_days</t>
        </is>
      </c>
      <c r="P1" s="4" t="inlineStr">
        <is>
          <t>longest_dry_spell_days</t>
        </is>
      </c>
      <c r="Q1" s="4" t="inlineStr">
        <is>
          <t>solar_radiation_avg_wm2</t>
        </is>
      </c>
      <c r="R1" s="4" t="inlineStr">
        <is>
          <t>low_light_days</t>
        </is>
      </c>
      <c r="S1" s="4" t="inlineStr">
        <is>
          <t>humidity_avg_pct</t>
        </is>
      </c>
      <c r="T1" s="4" t="inlineStr">
        <is>
          <t>outlier_count</t>
        </is>
      </c>
      <c r="U1" s="4" t="inlineStr">
        <is>
          <t>risk_count</t>
        </is>
      </c>
    </row>
    <row r="2">
      <c r="A2" t="n">
        <v>1</v>
      </c>
      <c r="B2" t="inlineStr">
        <is>
          <t>A-01 北区麦田</t>
        </is>
      </c>
      <c r="C2" t="n">
        <v>2024</v>
      </c>
      <c r="D2" t="inlineStr">
        <is>
          <t>春季</t>
        </is>
      </c>
      <c r="E2" t="inlineStr">
        <is>
          <t>2024-03-01</t>
        </is>
      </c>
      <c r="F2" t="inlineStr">
        <is>
          <t>2024-05-31</t>
        </is>
      </c>
      <c r="G2" t="n">
        <v>92</v>
      </c>
      <c r="H2" t="n">
        <v>91</v>
      </c>
      <c r="I2" t="n">
        <v>98.91</v>
      </c>
      <c r="J2" t="n">
        <v>15.7</v>
      </c>
      <c r="K2" t="n">
        <v>24.3</v>
      </c>
      <c r="L2" t="n">
        <v>5.4</v>
      </c>
      <c r="M2" t="n">
        <v>5.449</v>
      </c>
      <c r="N2" t="n">
        <v>233.8</v>
      </c>
      <c r="O2" t="n">
        <v>19</v>
      </c>
      <c r="P2" t="n">
        <v>20</v>
      </c>
      <c r="Q2" t="n">
        <v>349.55</v>
      </c>
      <c r="R2" t="n">
        <v>0</v>
      </c>
      <c r="S2" t="n">
        <v>73.64</v>
      </c>
      <c r="T2" t="n">
        <v>0</v>
      </c>
      <c r="U2" t="n">
        <v>6</v>
      </c>
    </row>
    <row r="3">
      <c r="A3" t="n">
        <v>1</v>
      </c>
      <c r="B3" t="inlineStr">
        <is>
          <t>A-01 北区麦田</t>
        </is>
      </c>
      <c r="C3" t="n">
        <v>2024</v>
      </c>
      <c r="D3" t="inlineStr">
        <is>
          <t>夏季</t>
        </is>
      </c>
      <c r="E3" t="inlineStr">
        <is>
          <t>2024-06-01</t>
        </is>
      </c>
      <c r="F3" t="inlineStr">
        <is>
          <t>2024-08-31</t>
        </is>
      </c>
      <c r="G3" t="n">
        <v>92</v>
      </c>
      <c r="H3" t="n">
        <v>91</v>
      </c>
      <c r="I3" t="n">
        <v>98.91</v>
      </c>
      <c r="J3" t="n">
        <v>27.67</v>
      </c>
      <c r="K3" t="n">
        <v>37.8</v>
      </c>
      <c r="L3" t="n">
        <v>19.5</v>
      </c>
      <c r="M3" t="n">
        <v>0.527</v>
      </c>
      <c r="N3" t="n">
        <v>529.3</v>
      </c>
      <c r="O3" t="n">
        <v>30</v>
      </c>
      <c r="P3" t="n">
        <v>8</v>
      </c>
      <c r="Q3" t="n">
        <v>471.36</v>
      </c>
      <c r="R3" t="n">
        <v>0</v>
      </c>
      <c r="S3" t="n">
        <v>68.37</v>
      </c>
      <c r="T3" t="n">
        <v>24</v>
      </c>
      <c r="U3" t="n">
        <v>6</v>
      </c>
    </row>
    <row r="4">
      <c r="A4" t="n">
        <v>1</v>
      </c>
      <c r="B4" t="inlineStr">
        <is>
          <t>A-01 北区麦田</t>
        </is>
      </c>
      <c r="C4" t="n">
        <v>2024</v>
      </c>
      <c r="D4" t="inlineStr">
        <is>
          <t>秋季</t>
        </is>
      </c>
      <c r="E4" t="inlineStr">
        <is>
          <t>2024-09-01</t>
        </is>
      </c>
      <c r="F4" t="inlineStr">
        <is>
          <t>2024-11-30</t>
        </is>
      </c>
      <c r="G4" t="n">
        <v>91</v>
      </c>
      <c r="H4" t="n">
        <v>91</v>
      </c>
      <c r="I4" t="n">
        <v>100</v>
      </c>
      <c r="J4" t="n">
        <v>15</v>
      </c>
      <c r="K4" t="n">
        <v>28</v>
      </c>
      <c r="L4" t="n">
        <v>-0.3</v>
      </c>
      <c r="M4" t="n">
        <v>-7.801</v>
      </c>
      <c r="N4" t="n">
        <v>180.8</v>
      </c>
      <c r="O4" t="n">
        <v>14</v>
      </c>
      <c r="P4" t="n">
        <v>29</v>
      </c>
      <c r="Q4" t="n">
        <v>326.58</v>
      </c>
      <c r="R4" t="n">
        <v>1</v>
      </c>
      <c r="S4" t="n">
        <v>73.48</v>
      </c>
      <c r="T4" t="n">
        <v>2</v>
      </c>
      <c r="U4" t="n">
        <v>4</v>
      </c>
    </row>
    <row r="5">
      <c r="A5" t="n">
        <v>1</v>
      </c>
      <c r="B5" t="inlineStr">
        <is>
          <t>A-01 北区麦田</t>
        </is>
      </c>
      <c r="C5" t="n">
        <v>2024</v>
      </c>
      <c r="D5" t="inlineStr">
        <is>
          <t>冬季</t>
        </is>
      </c>
      <c r="E5" t="inlineStr">
        <is>
          <t>2024-01-01</t>
        </is>
      </c>
      <c r="F5" t="inlineStr">
        <is>
          <t>2024-02-29</t>
        </is>
      </c>
      <c r="G5" t="n">
        <v>60</v>
      </c>
      <c r="H5" t="n">
        <v>60</v>
      </c>
      <c r="I5" t="n">
        <v>100</v>
      </c>
      <c r="J5" t="n">
        <v>3.19</v>
      </c>
      <c r="K5" t="n">
        <v>8.300000000000001</v>
      </c>
      <c r="L5" t="n">
        <v>-1.7</v>
      </c>
      <c r="M5" t="n">
        <v>3.073</v>
      </c>
      <c r="N5" t="n">
        <v>235.4</v>
      </c>
      <c r="O5" t="n">
        <v>15</v>
      </c>
      <c r="P5" t="n">
        <v>8</v>
      </c>
      <c r="Q5" t="n">
        <v>198.84</v>
      </c>
      <c r="R5" t="n">
        <v>4</v>
      </c>
      <c r="S5" t="n">
        <v>80.59</v>
      </c>
      <c r="T5" t="n">
        <v>17</v>
      </c>
      <c r="U5" t="n">
        <v>11</v>
      </c>
    </row>
    <row r="6">
      <c r="A6" t="n">
        <v>1</v>
      </c>
      <c r="B6" t="inlineStr">
        <is>
          <t>A-01 北区麦田</t>
        </is>
      </c>
      <c r="C6" t="n">
        <v>2025</v>
      </c>
      <c r="D6" t="inlineStr">
        <is>
          <t>冬季</t>
        </is>
      </c>
      <c r="E6" t="inlineStr">
        <is>
          <t>2024-12-01</t>
        </is>
      </c>
      <c r="F6" t="inlineStr">
        <is>
          <t>2024-12-31</t>
        </is>
      </c>
      <c r="G6" t="n">
        <v>31</v>
      </c>
      <c r="H6" t="n">
        <v>31</v>
      </c>
      <c r="I6" t="n">
        <v>100</v>
      </c>
      <c r="J6" t="n">
        <v>2.68</v>
      </c>
      <c r="K6" t="n">
        <v>8.800000000000001</v>
      </c>
      <c r="L6" t="n">
        <v>-1.6</v>
      </c>
      <c r="M6" t="n">
        <v>-2.075</v>
      </c>
      <c r="N6" t="n">
        <v>69.59999999999999</v>
      </c>
      <c r="O6" t="n">
        <v>8</v>
      </c>
      <c r="P6" t="n">
        <v>8</v>
      </c>
      <c r="Q6" t="n">
        <v>204.76</v>
      </c>
      <c r="R6" t="n">
        <v>1</v>
      </c>
      <c r="S6" t="n">
        <v>81.22</v>
      </c>
      <c r="T6" t="n">
        <v>11</v>
      </c>
      <c r="U6" t="n">
        <v>6</v>
      </c>
    </row>
    <row r="7">
      <c r="A7" t="n">
        <v>1</v>
      </c>
      <c r="B7" t="inlineStr">
        <is>
          <t>B-02 南区水稻田</t>
        </is>
      </c>
      <c r="C7" t="n">
        <v>2024</v>
      </c>
      <c r="D7" t="inlineStr">
        <is>
          <t>春季</t>
        </is>
      </c>
      <c r="E7" t="inlineStr">
        <is>
          <t>2024-03-01</t>
        </is>
      </c>
      <c r="F7" t="inlineStr">
        <is>
          <t>2024-05-31</t>
        </is>
      </c>
      <c r="G7" t="n">
        <v>92</v>
      </c>
      <c r="H7" t="n">
        <v>92</v>
      </c>
      <c r="I7" t="n">
        <v>100</v>
      </c>
      <c r="J7" t="n">
        <v>16.9</v>
      </c>
      <c r="K7" t="n">
        <v>27</v>
      </c>
      <c r="L7" t="n">
        <v>4.9</v>
      </c>
      <c r="M7" t="n">
        <v>5.956</v>
      </c>
      <c r="N7" t="n">
        <v>257.9</v>
      </c>
      <c r="O7" t="n">
        <v>24</v>
      </c>
      <c r="P7" t="n">
        <v>7</v>
      </c>
      <c r="Q7" t="n">
        <v>322.38</v>
      </c>
      <c r="R7" t="n">
        <v>0</v>
      </c>
      <c r="S7" t="n">
        <v>73.41</v>
      </c>
      <c r="T7" t="n">
        <v>22</v>
      </c>
      <c r="U7" t="n">
        <v>1</v>
      </c>
    </row>
    <row r="8">
      <c r="A8" t="n">
        <v>1</v>
      </c>
      <c r="B8" t="inlineStr">
        <is>
          <t>B-02 南区水稻田</t>
        </is>
      </c>
      <c r="C8" t="n">
        <v>2024</v>
      </c>
      <c r="D8" t="inlineStr">
        <is>
          <t>夏季</t>
        </is>
      </c>
      <c r="E8" t="inlineStr">
        <is>
          <t>2024-06-01</t>
        </is>
      </c>
      <c r="F8" t="inlineStr">
        <is>
          <t>2024-08-31</t>
        </is>
      </c>
      <c r="G8" t="n">
        <v>92</v>
      </c>
      <c r="H8" t="n">
        <v>92</v>
      </c>
      <c r="I8" t="n">
        <v>100</v>
      </c>
      <c r="J8" t="n">
        <v>28.88</v>
      </c>
      <c r="K8" t="n">
        <v>34.5</v>
      </c>
      <c r="L8" t="n">
        <v>23.1</v>
      </c>
      <c r="M8" t="n">
        <v>0.778</v>
      </c>
      <c r="N8" t="n">
        <v>453.1</v>
      </c>
      <c r="O8" t="n">
        <v>33</v>
      </c>
      <c r="P8" t="n">
        <v>14</v>
      </c>
      <c r="Q8" t="n">
        <v>437.66</v>
      </c>
      <c r="R8" t="n">
        <v>0</v>
      </c>
      <c r="S8" t="n">
        <v>67.43000000000001</v>
      </c>
      <c r="T8" t="n">
        <v>18</v>
      </c>
      <c r="U8" t="n">
        <v>2</v>
      </c>
    </row>
    <row r="9">
      <c r="A9" t="n">
        <v>1</v>
      </c>
      <c r="B9" t="inlineStr">
        <is>
          <t>B-02 南区水稻田</t>
        </is>
      </c>
      <c r="C9" t="n">
        <v>2024</v>
      </c>
      <c r="D9" t="inlineStr">
        <is>
          <t>秋季</t>
        </is>
      </c>
      <c r="E9" t="inlineStr">
        <is>
          <t>2024-09-01</t>
        </is>
      </c>
      <c r="F9" t="inlineStr">
        <is>
          <t>2024-11-30</t>
        </is>
      </c>
      <c r="G9" t="n">
        <v>91</v>
      </c>
      <c r="H9" t="n">
        <v>90</v>
      </c>
      <c r="I9" t="n">
        <v>98.90000000000001</v>
      </c>
      <c r="J9" t="n">
        <v>16.45</v>
      </c>
      <c r="K9" t="n">
        <v>29.4</v>
      </c>
      <c r="L9" t="n">
        <v>4.6</v>
      </c>
      <c r="M9" t="n">
        <v>-6.975</v>
      </c>
      <c r="N9" t="n">
        <v>423.7</v>
      </c>
      <c r="O9" t="n">
        <v>19</v>
      </c>
      <c r="P9" t="n">
        <v>15</v>
      </c>
      <c r="Q9" t="n">
        <v>301.42</v>
      </c>
      <c r="R9" t="n">
        <v>0</v>
      </c>
      <c r="S9" t="n">
        <v>73.03</v>
      </c>
      <c r="T9" t="n">
        <v>2</v>
      </c>
      <c r="U9" t="n">
        <v>7</v>
      </c>
    </row>
    <row r="10">
      <c r="A10" t="n">
        <v>1</v>
      </c>
      <c r="B10" t="inlineStr">
        <is>
          <t>B-02 南区水稻田</t>
        </is>
      </c>
      <c r="C10" t="n">
        <v>2024</v>
      </c>
      <c r="D10" t="inlineStr">
        <is>
          <t>冬季</t>
        </is>
      </c>
      <c r="E10" t="inlineStr">
        <is>
          <t>2024-01-01</t>
        </is>
      </c>
      <c r="F10" t="inlineStr">
        <is>
          <t>2024-02-29</t>
        </is>
      </c>
      <c r="G10" t="n">
        <v>60</v>
      </c>
      <c r="H10" t="n">
        <v>59</v>
      </c>
      <c r="I10" t="n">
        <v>98.33</v>
      </c>
      <c r="J10" t="n">
        <v>4.75</v>
      </c>
      <c r="K10" t="n">
        <v>11.8</v>
      </c>
      <c r="L10" t="n">
        <v>-3.1</v>
      </c>
      <c r="M10" t="n">
        <v>4.116</v>
      </c>
      <c r="N10" t="n">
        <v>143.3</v>
      </c>
      <c r="O10" t="n">
        <v>11</v>
      </c>
      <c r="P10" t="n">
        <v>21</v>
      </c>
      <c r="Q10" t="n">
        <v>176.78</v>
      </c>
      <c r="R10" t="n">
        <v>3</v>
      </c>
      <c r="S10" t="n">
        <v>80.53</v>
      </c>
      <c r="T10" t="n">
        <v>3</v>
      </c>
      <c r="U10" t="n">
        <v>4</v>
      </c>
    </row>
    <row r="11">
      <c r="A11" t="n">
        <v>1</v>
      </c>
      <c r="B11" t="inlineStr">
        <is>
          <t>B-02 南区水稻田</t>
        </is>
      </c>
      <c r="C11" t="n">
        <v>2025</v>
      </c>
      <c r="D11" t="inlineStr">
        <is>
          <t>冬季</t>
        </is>
      </c>
      <c r="E11" t="inlineStr">
        <is>
          <t>2024-12-01</t>
        </is>
      </c>
      <c r="F11" t="inlineStr">
        <is>
          <t>2024-12-31</t>
        </is>
      </c>
      <c r="G11" t="n">
        <v>31</v>
      </c>
      <c r="H11" t="n">
        <v>31</v>
      </c>
      <c r="I11" t="n">
        <v>100</v>
      </c>
      <c r="J11" t="n">
        <v>4.25</v>
      </c>
      <c r="K11" t="n">
        <v>9</v>
      </c>
      <c r="L11" t="n">
        <v>-2.6</v>
      </c>
      <c r="M11" t="n">
        <v>-3.162</v>
      </c>
      <c r="N11" t="n">
        <v>117.9</v>
      </c>
      <c r="O11" t="n">
        <v>8</v>
      </c>
      <c r="P11" t="n">
        <v>4</v>
      </c>
      <c r="Q11" t="n">
        <v>179.55</v>
      </c>
      <c r="R11" t="n">
        <v>1</v>
      </c>
      <c r="S11" t="n">
        <v>81.79000000000001</v>
      </c>
      <c r="T11" t="n">
        <v>9</v>
      </c>
      <c r="U11" t="n">
        <v>2</v>
      </c>
    </row>
    <row r="12">
      <c r="A12" t="n">
        <v>1</v>
      </c>
      <c r="B12" t="inlineStr">
        <is>
          <t>C-03 东区试验田</t>
        </is>
      </c>
      <c r="C12" t="n">
        <v>2024</v>
      </c>
      <c r="D12" t="inlineStr">
        <is>
          <t>春季</t>
        </is>
      </c>
      <c r="E12" t="inlineStr">
        <is>
          <t>2024-03-01</t>
        </is>
      </c>
      <c r="F12" t="inlineStr">
        <is>
          <t>2024-05-31</t>
        </is>
      </c>
      <c r="G12" t="n">
        <v>92</v>
      </c>
      <c r="H12" t="n">
        <v>92</v>
      </c>
      <c r="I12" t="n">
        <v>100</v>
      </c>
      <c r="J12" t="n">
        <v>16.65</v>
      </c>
      <c r="K12" t="n">
        <v>28.2</v>
      </c>
      <c r="L12" t="n">
        <v>3.4</v>
      </c>
      <c r="M12" t="n">
        <v>6.018</v>
      </c>
      <c r="N12" t="n">
        <v>280.7</v>
      </c>
      <c r="O12" t="n">
        <v>25</v>
      </c>
      <c r="P12" t="n">
        <v>11</v>
      </c>
      <c r="Q12" t="n">
        <v>324.86</v>
      </c>
      <c r="R12" t="n">
        <v>0</v>
      </c>
      <c r="S12" t="n">
        <v>73.11</v>
      </c>
      <c r="T12" t="n">
        <v>21</v>
      </c>
      <c r="U12" t="n">
        <v>4</v>
      </c>
    </row>
    <row r="13">
      <c r="A13" t="n">
        <v>1</v>
      </c>
      <c r="B13" t="inlineStr">
        <is>
          <t>C-03 东区试验田</t>
        </is>
      </c>
      <c r="C13" t="n">
        <v>2024</v>
      </c>
      <c r="D13" t="inlineStr">
        <is>
          <t>夏季</t>
        </is>
      </c>
      <c r="E13" t="inlineStr">
        <is>
          <t>2024-06-01</t>
        </is>
      </c>
      <c r="F13" t="inlineStr">
        <is>
          <t>2024-08-31</t>
        </is>
      </c>
      <c r="G13" t="n">
        <v>92</v>
      </c>
      <c r="H13" t="n">
        <v>92</v>
      </c>
      <c r="I13" t="n">
        <v>100</v>
      </c>
      <c r="J13" t="n">
        <v>28.77</v>
      </c>
      <c r="K13" t="n">
        <v>36.1</v>
      </c>
      <c r="L13" t="n">
        <v>23.1</v>
      </c>
      <c r="M13" t="n">
        <v>0.453</v>
      </c>
      <c r="N13" t="n">
        <v>362.4</v>
      </c>
      <c r="O13" t="n">
        <v>29</v>
      </c>
      <c r="P13" t="n">
        <v>8</v>
      </c>
      <c r="Q13" t="n">
        <v>457.97</v>
      </c>
      <c r="R13" t="n">
        <v>0</v>
      </c>
      <c r="S13" t="n">
        <v>67.3</v>
      </c>
      <c r="T13" t="n">
        <v>22</v>
      </c>
      <c r="U13" t="n">
        <v>5</v>
      </c>
    </row>
    <row r="14">
      <c r="A14" t="n">
        <v>1</v>
      </c>
      <c r="B14" t="inlineStr">
        <is>
          <t>C-03 东区试验田</t>
        </is>
      </c>
      <c r="C14" t="n">
        <v>2024</v>
      </c>
      <c r="D14" t="inlineStr">
        <is>
          <t>秋季</t>
        </is>
      </c>
      <c r="E14" t="inlineStr">
        <is>
          <t>2024-09-01</t>
        </is>
      </c>
      <c r="F14" t="inlineStr">
        <is>
          <t>2024-11-30</t>
        </is>
      </c>
      <c r="G14" t="n">
        <v>91</v>
      </c>
      <c r="H14" t="n">
        <v>91</v>
      </c>
      <c r="I14" t="n">
        <v>100</v>
      </c>
      <c r="J14" t="n">
        <v>15.66</v>
      </c>
      <c r="K14" t="n">
        <v>29.8</v>
      </c>
      <c r="L14" t="n">
        <v>1.6</v>
      </c>
      <c r="M14" t="n">
        <v>-7.588</v>
      </c>
      <c r="N14" t="n">
        <v>233</v>
      </c>
      <c r="O14" t="n">
        <v>19</v>
      </c>
      <c r="P14" t="n">
        <v>14</v>
      </c>
      <c r="Q14" t="n">
        <v>317.85</v>
      </c>
      <c r="R14" t="n">
        <v>0</v>
      </c>
      <c r="S14" t="n">
        <v>73.83</v>
      </c>
      <c r="T14" t="n">
        <v>0</v>
      </c>
      <c r="U14" t="n">
        <v>5</v>
      </c>
    </row>
    <row r="15">
      <c r="A15" t="n">
        <v>1</v>
      </c>
      <c r="B15" t="inlineStr">
        <is>
          <t>C-03 东区试验田</t>
        </is>
      </c>
      <c r="C15" t="n">
        <v>2024</v>
      </c>
      <c r="D15" t="inlineStr">
        <is>
          <t>冬季</t>
        </is>
      </c>
      <c r="E15" t="inlineStr">
        <is>
          <t>2024-01-01</t>
        </is>
      </c>
      <c r="F15" t="inlineStr">
        <is>
          <t>2024-02-29</t>
        </is>
      </c>
      <c r="G15" t="n">
        <v>60</v>
      </c>
      <c r="H15" t="n">
        <v>59</v>
      </c>
      <c r="I15" t="n">
        <v>98.33</v>
      </c>
      <c r="J15" t="n">
        <v>3.46</v>
      </c>
      <c r="K15" t="n">
        <v>9.6</v>
      </c>
      <c r="L15" t="n">
        <v>-1.1</v>
      </c>
      <c r="M15" t="n">
        <v>2.645</v>
      </c>
      <c r="N15" t="n">
        <v>96.8</v>
      </c>
      <c r="O15" t="n">
        <v>12</v>
      </c>
      <c r="P15" t="n">
        <v>13</v>
      </c>
      <c r="Q15" t="n">
        <v>198.89</v>
      </c>
      <c r="R15" t="n">
        <v>1</v>
      </c>
      <c r="S15" t="n">
        <v>79.48</v>
      </c>
      <c r="T15" t="n">
        <v>1</v>
      </c>
      <c r="U15" t="n">
        <v>8</v>
      </c>
    </row>
    <row r="16">
      <c r="A16" t="n">
        <v>1</v>
      </c>
      <c r="B16" t="inlineStr">
        <is>
          <t>C-03 东区试验田</t>
        </is>
      </c>
      <c r="C16" t="n">
        <v>2025</v>
      </c>
      <c r="D16" t="inlineStr">
        <is>
          <t>冬季</t>
        </is>
      </c>
      <c r="E16" t="inlineStr">
        <is>
          <t>2024-12-01</t>
        </is>
      </c>
      <c r="F16" t="inlineStr">
        <is>
          <t>2024-12-31</t>
        </is>
      </c>
      <c r="G16" t="n">
        <v>31</v>
      </c>
      <c r="H16" t="n">
        <v>31</v>
      </c>
      <c r="I16" t="n">
        <v>100</v>
      </c>
      <c r="J16" t="n">
        <v>3.71</v>
      </c>
      <c r="K16" t="n">
        <v>8</v>
      </c>
      <c r="L16" t="n">
        <v>0.3</v>
      </c>
      <c r="M16" t="n">
        <v>0.963</v>
      </c>
      <c r="N16" t="n">
        <v>67</v>
      </c>
      <c r="O16" t="n">
        <v>7</v>
      </c>
      <c r="P16" t="n">
        <v>8</v>
      </c>
      <c r="Q16" t="n">
        <v>210.95</v>
      </c>
      <c r="R16" t="n">
        <v>0</v>
      </c>
      <c r="S16" t="n">
        <v>79.48999999999999</v>
      </c>
      <c r="T16" t="n">
        <v>1</v>
      </c>
      <c r="U16" t="n">
        <v>1</v>
      </c>
    </row>
  </sheetData>
  <autoFilter ref="A1:U16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48" customWidth="1" min="4" max="4"/>
    <col width="48" customWidth="1" min="5" max="5"/>
  </cols>
  <sheetData>
    <row r="1">
      <c r="A1" s="5" t="inlineStr">
        <is>
          <t>风险名称</t>
        </is>
      </c>
      <c r="B1" s="5" t="inlineStr">
        <is>
          <t>等级</t>
        </is>
      </c>
      <c r="C1" s="5" t="inlineStr">
        <is>
          <t>状态</t>
        </is>
      </c>
      <c r="D1" s="5" t="inlineStr">
        <is>
          <t>证据</t>
        </is>
      </c>
      <c r="E1" s="5" t="inlineStr">
        <is>
          <t>建议</t>
        </is>
      </c>
    </row>
    <row r="2">
      <c r="A2" s="3" t="inlineStr">
        <is>
          <t>高温日</t>
        </is>
      </c>
      <c r="B2" s="3" t="inlineStr">
        <is>
          <t>中</t>
        </is>
      </c>
      <c r="C2" s="3" t="inlineStr">
        <is>
          <t>触发</t>
        </is>
      </c>
      <c r="D2" s="3" t="inlineStr">
        <is>
          <t>检测到 2 个事件，涉及 2 个地块，最近事件 2024-08-10 至 2024-08-10</t>
        </is>
      </c>
      <c r="E2" s="3" t="inlineStr">
        <is>
          <t>加强土壤墒情监测，优先安排早晚灌溉。</t>
        </is>
      </c>
    </row>
    <row r="3">
      <c r="A3" s="3" t="inlineStr">
        <is>
          <t>连续高温</t>
        </is>
      </c>
      <c r="B3" s="3" t="inlineStr">
        <is>
          <t>高</t>
        </is>
      </c>
      <c r="C3" s="3" t="inlineStr">
        <is>
          <t>触发</t>
        </is>
      </c>
      <c r="D3" s="3" t="inlineStr">
        <is>
          <t>检测到 1 个事件，涉及 1 个地块，最近事件 2024-07-15 至 2024-07-17</t>
        </is>
      </c>
      <c r="E3" s="3" t="inlineStr">
        <is>
          <t>连续高温期启动遮阳、补水和田间巡查。</t>
        </is>
      </c>
    </row>
    <row r="4">
      <c r="A4" s="3" t="inlineStr">
        <is>
          <t>低温冻害</t>
        </is>
      </c>
      <c r="B4" s="3" t="inlineStr">
        <is>
          <t>高</t>
        </is>
      </c>
      <c r="C4" s="3" t="inlineStr">
        <is>
          <t>触发</t>
        </is>
      </c>
      <c r="D4" s="3" t="inlineStr">
        <is>
          <t>检测到 21 个事件，涉及 3 个地块，最近事件 2024-12-31 至 2024-12-31</t>
        </is>
      </c>
      <c r="E4" s="3" t="inlineStr">
        <is>
          <t>必要时覆盖保温，并避开清晨低温时段灌溉。</t>
        </is>
      </c>
    </row>
    <row r="5">
      <c r="A5" s="3" t="inlineStr">
        <is>
          <t>强降水积涝</t>
        </is>
      </c>
      <c r="B5" s="3" t="inlineStr">
        <is>
          <t>高</t>
        </is>
      </c>
      <c r="C5" s="3" t="inlineStr">
        <is>
          <t>触发</t>
        </is>
      </c>
      <c r="D5" s="3" t="inlineStr">
        <is>
          <t>检测到 8 个事件，涉及 2 个地块，最近事件 2024-11-19 至 2024-11-19</t>
        </is>
      </c>
      <c r="E5" s="3" t="inlineStr">
        <is>
          <t>疏通田间沟渠，雨后巡查根区积水和病害。</t>
        </is>
      </c>
    </row>
    <row r="6">
      <c r="A6" s="3" t="inlineStr">
        <is>
          <t>连续干日</t>
        </is>
      </c>
      <c r="B6" s="3" t="inlineStr">
        <is>
          <t>中</t>
        </is>
      </c>
      <c r="C6" s="3" t="inlineStr">
        <is>
          <t>触发</t>
        </is>
      </c>
      <c r="D6" s="3" t="inlineStr">
        <is>
          <t>检测到 36 个事件，涉及 3 个地块，最近事件 2024-12-18 至 2024-12-25</t>
        </is>
      </c>
      <c r="E6" s="3" t="inlineStr">
        <is>
          <t>结合土壤墒情安排分区灌溉。</t>
        </is>
      </c>
    </row>
    <row r="7">
      <c r="A7" s="3" t="inlineStr">
        <is>
          <t>连续低光照</t>
        </is>
      </c>
      <c r="B7" s="3" t="inlineStr">
        <is>
          <t>中</t>
        </is>
      </c>
      <c r="C7" s="3" t="inlineStr">
        <is>
          <t>触发</t>
        </is>
      </c>
      <c r="D7" s="3" t="inlineStr">
        <is>
          <t>检测到 1 个事件，涉及 1 个地块，最近事件 2024-01-10 至 2024-01-12</t>
        </is>
      </c>
      <c r="E7" s="3" t="inlineStr">
        <is>
          <t>设施农业复核遮阳与补光策略。</t>
        </is>
      </c>
    </row>
    <row r="8">
      <c r="A8" s="3" t="inlineStr">
        <is>
          <t>日际温度突变</t>
        </is>
      </c>
      <c r="B8" s="3" t="inlineStr">
        <is>
          <t>中</t>
        </is>
      </c>
      <c r="C8" s="3" t="inlineStr">
        <is>
          <t>触发</t>
        </is>
      </c>
      <c r="D8" s="3" t="inlineStr">
        <is>
          <t>检测到 3 个事件，涉及 2 个地块，最近事件 2024-08-10 至 2024-08-11</t>
        </is>
      </c>
      <c r="E8" s="3" t="inlineStr">
        <is>
          <t>关注敏感生育期，检查防寒或通风措施。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项目</t>
        </is>
      </c>
      <c r="B1" s="5" t="inlineStr">
        <is>
          <t>说明</t>
        </is>
      </c>
    </row>
    <row r="2">
      <c r="A2" t="inlineStr">
        <is>
          <t>季节划分</t>
        </is>
      </c>
      <c r="B2" s="3" t="inlineStr">
        <is>
          <t>北半球气象季节：春季3–5月、夏季6–8月、秋季9–11月、冬季12–2月；12月归入下一 season_year</t>
        </is>
      </c>
    </row>
    <row r="3">
      <c r="A3" t="inlineStr">
        <is>
          <t>降水口径</t>
        </is>
      </c>
      <c r="B3" s="3" t="inlineStr">
        <is>
          <t>多地块先计算区域日均降水，再跨日累加，避免地块数导致累计量膨胀</t>
        </is>
      </c>
    </row>
    <row r="4">
      <c r="A4" t="inlineStr">
        <is>
          <t>趋势方法</t>
        </is>
      </c>
      <c r="B4" s="3" t="inlineStr">
        <is>
          <t>区域逐日均值的一元线性回归，斜率折算为每30天变化量</t>
        </is>
      </c>
    </row>
    <row r="5">
      <c r="A5" t="inlineStr">
        <is>
          <t>异常方法</t>
        </is>
      </c>
      <c r="B5" s="3" t="inlineStr">
        <is>
          <t>同一地块、season_year、季节内按指标使用1.5×IQR（n≥8），仅标记、不删除</t>
        </is>
      </c>
    </row>
    <row r="6">
      <c r="A6" t="inlineStr">
        <is>
          <t>质量评分边界</t>
        </is>
      </c>
      <c r="B6" s="3" t="inlineStr">
        <is>
          <t>仅评价字段完整性、类型、工程范围、缺测、质量标记和重复；不代表上游数据的测量准确性或现场代表性。</t>
        </is>
      </c>
    </row>
    <row r="7">
      <c r="A7" t="inlineStr">
        <is>
          <t>决策边界</t>
        </is>
      </c>
      <c r="B7" s="3" t="inlineStr">
        <is>
          <t>自动结论用于数据辅助研判，田间管理需结合土壤、作物品种与现场巡查。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2026-10-15T08:20:44Z</dcterms:created>
  <dcterms:modified xsi:type="dcterms:W3CDTF">2026-10-15T08:20:44Z</dcterms:modified>
</cp:coreProperties>
</file>